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030"/>
  </bookViews>
  <sheets>
    <sheet name="Raw_Data" sheetId="1" r:id="rId1"/>
    <sheet name="Dashboard" sheetId="2" r:id="rId2"/>
    <sheet name="Price_Trend" sheetId="3" r:id="rId3"/>
    <sheet name="Process_Analysi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<sst xmlns="http://schemas.openxmlformats.org/spreadsheetml/2006/main" count="26" uniqueCount="23">
  <si>
    <t>Date_Checked</t>
  </si>
  <si>
    <t>Roaster</t>
  </si>
  <si>
    <t>Roaster_Country</t>
  </si>
  <si>
    <t>Coffee_Name</t>
  </si>
  <si>
    <t>Origin</t>
  </si>
  <si>
    <t>Process</t>
  </si>
  <si>
    <t>Size_g</t>
  </si>
  <si>
    <t>Price_RMB</t>
  </si>
  <si>
    <t>发布日期</t>
  </si>
  <si>
    <t>In_Stock</t>
  </si>
  <si>
    <t>New_Release</t>
  </si>
  <si>
    <t>📡 Specialty Coffee Market Radar 3.1 (RMB Version)</t>
  </si>
  <si>
    <t>Total Coffees</t>
  </si>
  <si>
    <t>In Stock</t>
  </si>
  <si>
    <t>New Releases</t>
  </si>
  <si>
    <t>Average Price (RMB)</t>
  </si>
  <si>
    <t>Average Price per g (RMB)</t>
  </si>
  <si>
    <t>Max Price (RMB)</t>
  </si>
  <si>
    <t>Min Price (RMB)</t>
  </si>
  <si>
    <t>Date</t>
  </si>
  <si>
    <t>Count</t>
  </si>
  <si>
    <t>Avg Price (RMB)</t>
  </si>
  <si>
    <t>Avg Price per g (RMB)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</si>
</sst>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Price_Trend!$B$1</c:f>
              <c:strCache>
                <c:ptCount val="1"/>
                <c:pt idx="0">
                  <c:v>Average Price (RMB)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Price_Trend!$A$2:$A$20</c:f>
              <c:numCache>
                <c:formatCode>General</c:formatCode>
                <c:ptCount val="19"/>
              </c:numCache>
            </c:numRef>
          </c:cat>
          <c:val>
            <c:numRef>
              <c:f>Price_Trend!$B$2:$B$20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Price_Trend!$C$1</c:f>
              <c:strCache>
                <c:ptCount val="1"/>
                <c:pt idx="0">
                  <c:v>Average Price per g (RMB)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Price_Trend!$A$2:$A$20</c:f>
              <c:numCache>
                <c:formatCode>General</c:formatCode>
                <c:ptCount val="19"/>
              </c:numCache>
            </c:numRef>
          </c:cat>
          <c:val>
            <c:numRef>
              <c:f>Price_Trend!$C$2:$C$20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0e130d3-4dfa-4da9-b8f5-47bf89aa01ca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Process_Analysis!$B$1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noFill/>
              <a:prstDash val="solid"/>
            </a:ln>
          </c:spPr>
          <c:invertIfNegative val="0"/>
          <c:dLbls>
            <c:delete val="1"/>
          </c:dLbls>
          <c:cat>
            <c:numRef>
              <c:f>Process_Analysis!$A$2:$A$10</c:f>
              <c:numCache>
                <c:formatCode>General</c:formatCode>
                <c:ptCount val="9"/>
              </c:numCache>
            </c:numRef>
          </c:cat>
          <c:val>
            <c:numRef>
              <c:f>Process_Analysis!$B$2:$B$10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c20186e-5d0b-4797-8cf2-c493e2c19f90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0</xdr:colOff>
      <xdr:row>1</xdr:row>
      <xdr:rowOff>0</xdr:rowOff>
    </xdr:from>
    <xdr:ext cx="5400000" cy="2522200"/>
    <xdr:graphicFrame>
      <xdr:nvGraphicFramePr>
        <xdr:cNvPr id="2" name="Chart 1"/>
        <xdr:cNvGraphicFramePr/>
      </xdr:nvGraphicFramePr>
      <xdr:xfrm>
        <a:off x="2514600" y="177800"/>
        <a:ext cx="5399405" cy="25215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1</xdr:row>
      <xdr:rowOff>0</xdr:rowOff>
    </xdr:from>
    <xdr:ext cx="5400000" cy="2522200"/>
    <xdr:graphicFrame>
      <xdr:nvGraphicFramePr>
        <xdr:cNvPr id="2" name="Chart 1"/>
        <xdr:cNvGraphicFramePr/>
      </xdr:nvGraphicFramePr>
      <xdr:xfrm>
        <a:off x="3143250" y="177800"/>
        <a:ext cx="5399405" cy="25215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0"/>
  <sheetViews>
    <sheetView tabSelected="1" workbookViewId="0">
      <selection activeCell="F16" sqref="F16"/>
    </sheetView>
  </sheetViews>
  <sheetFormatPr defaultColWidth="9" defaultRowHeight="14"/>
  <cols>
    <col min="1" max="1" width="18.6363636363636" customWidth="1"/>
    <col min="2" max="2" width="12.9090909090909" customWidth="1"/>
    <col min="4" max="4" width="26.3636363636364" customWidth="1"/>
    <col min="5" max="5" width="34.2727272727273" customWidth="1"/>
    <col min="6" max="6" width="41" customWidth="1"/>
    <col min="8" max="8" width="11.5454545454545" customWidth="1"/>
    <col min="12" max="12" width="9" customWidth="1"/>
    <col min="13" max="13" width="25.2727272727273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477" spans="1:3">
      <c r="A477" s="3"/>
      <c r="C477" s="4"/>
    </row>
    <row r="478" spans="1:3">
      <c r="A478" s="3"/>
      <c r="C478" s="4"/>
    </row>
    <row r="479" spans="1:3">
      <c r="A479" s="3"/>
      <c r="C479" s="4"/>
    </row>
    <row r="480" spans="1:3">
      <c r="A480" s="3"/>
      <c r="C480" s="4"/>
    </row>
  </sheetData>
  <dataValidations count="1">
    <dataValidation type="list" allowBlank="1" sqref="I2:K997">
      <formula1>"Yes,No"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17" sqref="B17"/>
    </sheetView>
  </sheetViews>
  <sheetFormatPr defaultColWidth="9" defaultRowHeight="14" outlineLevelCol="1"/>
  <cols>
    <col min="1" max="1" width="80.2727272727273" customWidth="1"/>
  </cols>
  <sheetData>
    <row r="1" ht="17.5" customHeight="1" spans="1:2">
      <c r="A1" s="2" t="s">
        <v>11</v>
      </c>
    </row>
    <row r="3" spans="1:2">
      <c r="A3" s="1" t="s">
        <v>12</v>
      </c>
      <c r="B3">
        <f>COUNTA(Raw_Data!D:D)-1</f>
        <v>0</v>
      </c>
    </row>
    <row r="4" spans="1:2">
      <c r="A4" s="1" t="s">
        <v>13</v>
      </c>
      <c r="B4">
        <f>COUNTIF(Raw_Data!J:J,"Yes")</f>
        <v>0</v>
      </c>
    </row>
    <row r="5" spans="1:2">
      <c r="A5" s="1" t="s">
        <v>14</v>
      </c>
      <c r="B5">
        <f>COUNTIF(Raw_Data!K:K,"Yes")</f>
        <v>0</v>
      </c>
    </row>
    <row r="6" spans="1:2">
      <c r="A6" s="1" t="s">
        <v>15</v>
      </c>
      <c r="B6" t="e">
        <f>AVERAGE(Raw_Data!H:H)</f>
        <v>#DIV/0!</v>
      </c>
    </row>
    <row r="7" spans="1:2">
      <c r="A7" s="1" t="s">
        <v>16</v>
      </c>
      <c r="B7" t="e">
        <f>AVERAGE(Raw_Data!#REF!)</f>
        <v>#REF!</v>
      </c>
    </row>
    <row r="8" spans="1:2">
      <c r="A8" s="1" t="s">
        <v>17</v>
      </c>
      <c r="B8">
        <f>MAX(Raw_Data!H:H)</f>
        <v>0</v>
      </c>
    </row>
    <row r="9" spans="1:2">
      <c r="A9" s="1" t="s">
        <v>18</v>
      </c>
      <c r="B9">
        <f>MIN(Raw_Data!H:H)</f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9"/>
  <sheetViews>
    <sheetView workbookViewId="0">
      <selection activeCell="A1" sqref="A1"/>
    </sheetView>
  </sheetViews>
  <sheetFormatPr defaultColWidth="9" defaultRowHeight="14" outlineLevelCol="2"/>
  <sheetData>
    <row r="1" spans="1:3">
      <c r="A1" s="1" t="s">
        <v>19</v>
      </c>
      <c r="B1" s="1" t="s">
        <v>15</v>
      </c>
      <c r="C1" s="1" t="s">
        <v>16</v>
      </c>
    </row>
    <row r="2" spans="1:3">
      <c r="B2" t="str">
        <f>IFERROR(AVERAGEIF(Raw_Data!A:A,A2,Raw_Data!H:H),"")</f>
        <v/>
      </c>
      <c r="C2" t="str">
        <f ca="1">IFERROR(AVERAGEIF(Raw_Data!A:A,A2,Raw_Data!#REF!),"")</f>
        <v/>
      </c>
    </row>
    <row r="3" spans="1:3">
      <c r="B3" t="str">
        <f>IFERROR(AVERAGEIF(Raw_Data!A:A,A3,Raw_Data!H:H),"")</f>
        <v/>
      </c>
      <c r="C3" t="str">
        <f ca="1">IFERROR(AVERAGEIF(Raw_Data!A:A,A3,Raw_Data!#REF!),"")</f>
        <v/>
      </c>
    </row>
    <row r="4" spans="1:3">
      <c r="B4" t="str">
        <f>IFERROR(AVERAGEIF(Raw_Data!A:A,A4,Raw_Data!H:H),"")</f>
        <v/>
      </c>
      <c r="C4" t="str">
        <f ca="1">IFERROR(AVERAGEIF(Raw_Data!A:A,A4,Raw_Data!#REF!),"")</f>
        <v/>
      </c>
    </row>
    <row r="5" spans="1:3">
      <c r="B5" t="str">
        <f>IFERROR(AVERAGEIF(Raw_Data!A:A,A5,Raw_Data!H:H),"")</f>
        <v/>
      </c>
      <c r="C5" t="str">
        <f ca="1">IFERROR(AVERAGEIF(Raw_Data!A:A,A5,Raw_Data!#REF!),"")</f>
        <v/>
      </c>
    </row>
    <row r="6" spans="1:3">
      <c r="B6" t="str">
        <f>IFERROR(AVERAGEIF(Raw_Data!A:A,A6,Raw_Data!H:H),"")</f>
        <v/>
      </c>
      <c r="C6" t="str">
        <f ca="1">IFERROR(AVERAGEIF(Raw_Data!A:A,A6,Raw_Data!#REF!),"")</f>
        <v/>
      </c>
    </row>
    <row r="7" spans="1:3">
      <c r="B7" t="str">
        <f>IFERROR(AVERAGEIF(Raw_Data!A:A,A7,Raw_Data!H:H),"")</f>
        <v/>
      </c>
      <c r="C7" t="str">
        <f ca="1">IFERROR(AVERAGEIF(Raw_Data!A:A,A7,Raw_Data!#REF!),"")</f>
        <v/>
      </c>
    </row>
    <row r="8" spans="1:3">
      <c r="B8" t="str">
        <f>IFERROR(AVERAGEIF(Raw_Data!A:A,A8,Raw_Data!H:H),"")</f>
        <v/>
      </c>
      <c r="C8" t="str">
        <f ca="1">IFERROR(AVERAGEIF(Raw_Data!A:A,A8,Raw_Data!#REF!),"")</f>
        <v/>
      </c>
    </row>
    <row r="9" spans="1:3">
      <c r="B9" t="str">
        <f>IFERROR(AVERAGEIF(Raw_Data!A:A,A9,Raw_Data!H:H),"")</f>
        <v/>
      </c>
      <c r="C9" t="str">
        <f ca="1">IFERROR(AVERAGEIF(Raw_Data!A:A,A9,Raw_Data!#REF!),"")</f>
        <v/>
      </c>
    </row>
    <row r="10" spans="1:3">
      <c r="B10" t="str">
        <f>IFERROR(AVERAGEIF(Raw_Data!A:A,A10,Raw_Data!H:H),"")</f>
        <v/>
      </c>
      <c r="C10" t="str">
        <f ca="1">IFERROR(AVERAGEIF(Raw_Data!A:A,A10,Raw_Data!#REF!),"")</f>
        <v/>
      </c>
    </row>
    <row r="11" spans="1:3">
      <c r="B11" t="str">
        <f>IFERROR(AVERAGEIF(Raw_Data!A:A,A11,Raw_Data!H:H),"")</f>
        <v/>
      </c>
      <c r="C11" t="str">
        <f ca="1">IFERROR(AVERAGEIF(Raw_Data!A:A,A11,Raw_Data!#REF!),"")</f>
        <v/>
      </c>
    </row>
    <row r="12" spans="1:3">
      <c r="B12" t="str">
        <f>IFERROR(AVERAGEIF(Raw_Data!A:A,A12,Raw_Data!H:H),"")</f>
        <v/>
      </c>
      <c r="C12" t="str">
        <f ca="1">IFERROR(AVERAGEIF(Raw_Data!A:A,A12,Raw_Data!#REF!),"")</f>
        <v/>
      </c>
    </row>
    <row r="13" spans="1:3">
      <c r="B13" t="str">
        <f>IFERROR(AVERAGEIF(Raw_Data!A:A,A13,Raw_Data!H:H),"")</f>
        <v/>
      </c>
      <c r="C13" t="str">
        <f ca="1">IFERROR(AVERAGEIF(Raw_Data!A:A,A13,Raw_Data!#REF!),"")</f>
        <v/>
      </c>
    </row>
    <row r="14" spans="1:3">
      <c r="B14" t="str">
        <f>IFERROR(AVERAGEIF(Raw_Data!A:A,A14,Raw_Data!H:H),"")</f>
        <v/>
      </c>
      <c r="C14" t="str">
        <f ca="1">IFERROR(AVERAGEIF(Raw_Data!A:A,A14,Raw_Data!#REF!),"")</f>
        <v/>
      </c>
    </row>
    <row r="15" spans="1:3">
      <c r="B15" t="str">
        <f>IFERROR(AVERAGEIF(Raw_Data!A:A,A15,Raw_Data!H:H),"")</f>
        <v/>
      </c>
      <c r="C15" t="str">
        <f ca="1">IFERROR(AVERAGEIF(Raw_Data!A:A,A15,Raw_Data!#REF!),"")</f>
        <v/>
      </c>
    </row>
    <row r="16" spans="1:3">
      <c r="B16" t="str">
        <f>IFERROR(AVERAGEIF(Raw_Data!A:A,A16,Raw_Data!H:H),"")</f>
        <v/>
      </c>
      <c r="C16" t="str">
        <f ca="1">IFERROR(AVERAGEIF(Raw_Data!A:A,A16,Raw_Data!#REF!),"")</f>
        <v/>
      </c>
    </row>
    <row r="17" spans="2:3">
      <c r="B17" t="str">
        <f>IFERROR(AVERAGEIF(Raw_Data!A:A,A17,Raw_Data!H:H),"")</f>
        <v/>
      </c>
      <c r="C17" t="str">
        <f ca="1">IFERROR(AVERAGEIF(Raw_Data!A:A,A17,Raw_Data!#REF!),"")</f>
        <v/>
      </c>
    </row>
    <row r="18" spans="2:3">
      <c r="B18" t="str">
        <f>IFERROR(AVERAGEIF(Raw_Data!A:A,A18,Raw_Data!H:H),"")</f>
        <v/>
      </c>
      <c r="C18" t="str">
        <f ca="1">IFERROR(AVERAGEIF(Raw_Data!A:A,A18,Raw_Data!#REF!),"")</f>
        <v/>
      </c>
    </row>
    <row r="19" spans="2:3">
      <c r="B19" t="str">
        <f>IFERROR(AVERAGEIF(Raw_Data!A:A,A19,Raw_Data!H:H),"")</f>
        <v/>
      </c>
      <c r="C19" t="str">
        <f ca="1">IFERROR(AVERAGEIF(Raw_Data!A:A,A19,Raw_Data!#REF!),"")</f>
        <v/>
      </c>
    </row>
    <row r="20" spans="2:3">
      <c r="B20" t="str">
        <f>IFERROR(AVERAGEIF(Raw_Data!A:A,A20,Raw_Data!H:H),"")</f>
        <v/>
      </c>
      <c r="C20" t="str">
        <f ca="1">IFERROR(AVERAGEIF(Raw_Data!A:A,A20,Raw_Data!#REF!),"")</f>
        <v/>
      </c>
    </row>
    <row r="21" spans="2:3">
      <c r="B21" t="str">
        <f>IFERROR(AVERAGEIF(Raw_Data!A:A,A21,Raw_Data!H:H),"")</f>
        <v/>
      </c>
      <c r="C21" t="str">
        <f ca="1">IFERROR(AVERAGEIF(Raw_Data!A:A,A21,Raw_Data!#REF!),"")</f>
        <v/>
      </c>
    </row>
    <row r="22" spans="2:3">
      <c r="B22" t="str">
        <f>IFERROR(AVERAGEIF(Raw_Data!A:A,A22,Raw_Data!H:H),"")</f>
        <v/>
      </c>
      <c r="C22" t="str">
        <f ca="1">IFERROR(AVERAGEIF(Raw_Data!A:A,A22,Raw_Data!#REF!),"")</f>
        <v/>
      </c>
    </row>
    <row r="23" spans="2:3">
      <c r="B23" t="str">
        <f>IFERROR(AVERAGEIF(Raw_Data!A:A,A23,Raw_Data!H:H),"")</f>
        <v/>
      </c>
      <c r="C23" t="str">
        <f ca="1">IFERROR(AVERAGEIF(Raw_Data!A:A,A23,Raw_Data!#REF!),"")</f>
        <v/>
      </c>
    </row>
    <row r="24" spans="2:3">
      <c r="B24" t="str">
        <f>IFERROR(AVERAGEIF(Raw_Data!A:A,A24,Raw_Data!H:H),"")</f>
        <v/>
      </c>
      <c r="C24" t="str">
        <f ca="1">IFERROR(AVERAGEIF(Raw_Data!A:A,A24,Raw_Data!#REF!),"")</f>
        <v/>
      </c>
    </row>
    <row r="25" spans="2:3">
      <c r="B25" t="str">
        <f>IFERROR(AVERAGEIF(Raw_Data!A:A,A25,Raw_Data!H:H),"")</f>
        <v/>
      </c>
      <c r="C25" t="str">
        <f ca="1">IFERROR(AVERAGEIF(Raw_Data!A:A,A25,Raw_Data!#REF!),"")</f>
        <v/>
      </c>
    </row>
    <row r="26" spans="2:3">
      <c r="B26" t="str">
        <f>IFERROR(AVERAGEIF(Raw_Data!A:A,A26,Raw_Data!H:H),"")</f>
        <v/>
      </c>
      <c r="C26" t="str">
        <f ca="1">IFERROR(AVERAGEIF(Raw_Data!A:A,A26,Raw_Data!#REF!),"")</f>
        <v/>
      </c>
    </row>
    <row r="27" spans="2:3">
      <c r="B27" t="str">
        <f>IFERROR(AVERAGEIF(Raw_Data!A:A,A27,Raw_Data!H:H),"")</f>
        <v/>
      </c>
      <c r="C27" t="str">
        <f ca="1">IFERROR(AVERAGEIF(Raw_Data!A:A,A27,Raw_Data!#REF!),"")</f>
        <v/>
      </c>
    </row>
    <row r="28" spans="2:3">
      <c r="B28" t="str">
        <f>IFERROR(AVERAGEIF(Raw_Data!A:A,A28,Raw_Data!H:H),"")</f>
        <v/>
      </c>
      <c r="C28" t="str">
        <f ca="1">IFERROR(AVERAGEIF(Raw_Data!A:A,A28,Raw_Data!#REF!),"")</f>
        <v/>
      </c>
    </row>
    <row r="29" spans="2:3">
      <c r="B29" t="str">
        <f>IFERROR(AVERAGEIF(Raw_Data!A:A,A29,Raw_Data!H:H),"")</f>
        <v/>
      </c>
      <c r="C29" t="str">
        <f ca="1">IFERROR(AVERAGEIF(Raw_Data!A:A,A29,Raw_Data!#REF!),"")</f>
        <v/>
      </c>
    </row>
    <row r="30" spans="2:3">
      <c r="B30" t="str">
        <f>IFERROR(AVERAGEIF(Raw_Data!A:A,A30,Raw_Data!H:H),"")</f>
        <v/>
      </c>
      <c r="C30" t="str">
        <f ca="1">IFERROR(AVERAGEIF(Raw_Data!A:A,A30,Raw_Data!#REF!),"")</f>
        <v/>
      </c>
    </row>
    <row r="31" spans="2:3">
      <c r="B31" t="str">
        <f>IFERROR(AVERAGEIF(Raw_Data!A:A,A31,Raw_Data!H:H),"")</f>
        <v/>
      </c>
      <c r="C31" t="str">
        <f ca="1">IFERROR(AVERAGEIF(Raw_Data!A:A,A31,Raw_Data!#REF!),"")</f>
        <v/>
      </c>
    </row>
    <row r="32" spans="2:3">
      <c r="B32" t="str">
        <f>IFERROR(AVERAGEIF(Raw_Data!A:A,A32,Raw_Data!H:H),"")</f>
        <v/>
      </c>
      <c r="C32" t="str">
        <f ca="1">IFERROR(AVERAGEIF(Raw_Data!A:A,A32,Raw_Data!#REF!),"")</f>
        <v/>
      </c>
    </row>
    <row r="33" spans="2:3">
      <c r="B33" t="str">
        <f>IFERROR(AVERAGEIF(Raw_Data!A:A,A33,Raw_Data!H:H),"")</f>
        <v/>
      </c>
      <c r="C33" t="str">
        <f ca="1">IFERROR(AVERAGEIF(Raw_Data!A:A,A33,Raw_Data!#REF!),"")</f>
        <v/>
      </c>
    </row>
    <row r="34" spans="2:3">
      <c r="B34" t="str">
        <f>IFERROR(AVERAGEIF(Raw_Data!A:A,A34,Raw_Data!H:H),"")</f>
        <v/>
      </c>
      <c r="C34" t="str">
        <f ca="1">IFERROR(AVERAGEIF(Raw_Data!A:A,A34,Raw_Data!#REF!),"")</f>
        <v/>
      </c>
    </row>
    <row r="35" spans="2:3">
      <c r="B35" t="str">
        <f>IFERROR(AVERAGEIF(Raw_Data!A:A,A35,Raw_Data!H:H),"")</f>
        <v/>
      </c>
      <c r="C35" t="str">
        <f ca="1">IFERROR(AVERAGEIF(Raw_Data!A:A,A35,Raw_Data!#REF!),"")</f>
        <v/>
      </c>
    </row>
    <row r="36" spans="2:3">
      <c r="B36" t="str">
        <f>IFERROR(AVERAGEIF(Raw_Data!A:A,A36,Raw_Data!H:H),"")</f>
        <v/>
      </c>
      <c r="C36" t="str">
        <f ca="1">IFERROR(AVERAGEIF(Raw_Data!A:A,A36,Raw_Data!#REF!),"")</f>
        <v/>
      </c>
    </row>
    <row r="37" spans="2:3">
      <c r="B37" t="str">
        <f>IFERROR(AVERAGEIF(Raw_Data!A:A,A37,Raw_Data!H:H),"")</f>
        <v/>
      </c>
      <c r="C37" t="str">
        <f ca="1">IFERROR(AVERAGEIF(Raw_Data!A:A,A37,Raw_Data!#REF!),"")</f>
        <v/>
      </c>
    </row>
    <row r="38" spans="2:3">
      <c r="B38" t="str">
        <f>IFERROR(AVERAGEIF(Raw_Data!A:A,A38,Raw_Data!H:H),"")</f>
        <v/>
      </c>
      <c r="C38" t="str">
        <f ca="1">IFERROR(AVERAGEIF(Raw_Data!A:A,A38,Raw_Data!#REF!),"")</f>
        <v/>
      </c>
    </row>
    <row r="39" spans="2:3">
      <c r="B39" t="str">
        <f>IFERROR(AVERAGEIF(Raw_Data!A:A,A39,Raw_Data!H:H),"")</f>
        <v/>
      </c>
      <c r="C39" t="str">
        <f ca="1">IFERROR(AVERAGEIF(Raw_Data!A:A,A39,Raw_Data!#REF!),"")</f>
        <v/>
      </c>
    </row>
    <row r="40" spans="2:3">
      <c r="B40" t="str">
        <f>IFERROR(AVERAGEIF(Raw_Data!A:A,A40,Raw_Data!H:H),"")</f>
        <v/>
      </c>
      <c r="C40" t="str">
        <f ca="1">IFERROR(AVERAGEIF(Raw_Data!A:A,A40,Raw_Data!#REF!),"")</f>
        <v/>
      </c>
    </row>
    <row r="41" spans="2:3">
      <c r="B41" t="str">
        <f>IFERROR(AVERAGEIF(Raw_Data!A:A,A41,Raw_Data!H:H),"")</f>
        <v/>
      </c>
      <c r="C41" t="str">
        <f ca="1">IFERROR(AVERAGEIF(Raw_Data!A:A,A41,Raw_Data!#REF!),"")</f>
        <v/>
      </c>
    </row>
    <row r="42" spans="2:3">
      <c r="B42" t="str">
        <f>IFERROR(AVERAGEIF(Raw_Data!A:A,A42,Raw_Data!H:H),"")</f>
        <v/>
      </c>
      <c r="C42" t="str">
        <f ca="1">IFERROR(AVERAGEIF(Raw_Data!A:A,A42,Raw_Data!#REF!),"")</f>
        <v/>
      </c>
    </row>
    <row r="43" spans="2:3">
      <c r="B43" t="str">
        <f>IFERROR(AVERAGEIF(Raw_Data!A:A,A43,Raw_Data!H:H),"")</f>
        <v/>
      </c>
      <c r="C43" t="str">
        <f ca="1">IFERROR(AVERAGEIF(Raw_Data!A:A,A43,Raw_Data!#REF!),"")</f>
        <v/>
      </c>
    </row>
    <row r="44" spans="2:3">
      <c r="B44" t="str">
        <f>IFERROR(AVERAGEIF(Raw_Data!A:A,A44,Raw_Data!H:H),"")</f>
        <v/>
      </c>
      <c r="C44" t="str">
        <f ca="1">IFERROR(AVERAGEIF(Raw_Data!A:A,A44,Raw_Data!#REF!),"")</f>
        <v/>
      </c>
    </row>
    <row r="45" spans="2:3">
      <c r="B45" t="str">
        <f>IFERROR(AVERAGEIF(Raw_Data!A:A,A45,Raw_Data!H:H),"")</f>
        <v/>
      </c>
      <c r="C45" t="str">
        <f ca="1">IFERROR(AVERAGEIF(Raw_Data!A:A,A45,Raw_Data!#REF!),"")</f>
        <v/>
      </c>
    </row>
    <row r="46" spans="2:3">
      <c r="B46" t="str">
        <f>IFERROR(AVERAGEIF(Raw_Data!A:A,A46,Raw_Data!H:H),"")</f>
        <v/>
      </c>
      <c r="C46" t="str">
        <f ca="1">IFERROR(AVERAGEIF(Raw_Data!A:A,A46,Raw_Data!#REF!),"")</f>
        <v/>
      </c>
    </row>
    <row r="47" spans="2:3">
      <c r="B47" t="str">
        <f>IFERROR(AVERAGEIF(Raw_Data!A:A,A47,Raw_Data!H:H),"")</f>
        <v/>
      </c>
      <c r="C47" t="str">
        <f ca="1">IFERROR(AVERAGEIF(Raw_Data!A:A,A47,Raw_Data!#REF!),"")</f>
        <v/>
      </c>
    </row>
    <row r="48" spans="2:3">
      <c r="B48" t="str">
        <f>IFERROR(AVERAGEIF(Raw_Data!A:A,A48,Raw_Data!H:H),"")</f>
        <v/>
      </c>
      <c r="C48" t="str">
        <f ca="1">IFERROR(AVERAGEIF(Raw_Data!A:A,A48,Raw_Data!#REF!),"")</f>
        <v/>
      </c>
    </row>
    <row r="49" spans="2:3">
      <c r="B49" t="str">
        <f>IFERROR(AVERAGEIF(Raw_Data!A:A,A49,Raw_Data!H:H),"")</f>
        <v/>
      </c>
      <c r="C49" t="str">
        <f ca="1">IFERROR(AVERAGEIF(Raw_Data!A:A,A49,Raw_Data!#REF!),"")</f>
        <v/>
      </c>
    </row>
    <row r="50" spans="2:3">
      <c r="B50" t="str">
        <f>IFERROR(AVERAGEIF(Raw_Data!A:A,A50,Raw_Data!H:H),"")</f>
        <v/>
      </c>
      <c r="C50" t="str">
        <f ca="1">IFERROR(AVERAGEIF(Raw_Data!A:A,A50,Raw_Data!#REF!),"")</f>
        <v/>
      </c>
    </row>
    <row r="51" spans="2:3">
      <c r="B51" t="str">
        <f>IFERROR(AVERAGEIF(Raw_Data!A:A,A51,Raw_Data!H:H),"")</f>
        <v/>
      </c>
      <c r="C51" t="str">
        <f ca="1">IFERROR(AVERAGEIF(Raw_Data!A:A,A51,Raw_Data!#REF!),"")</f>
        <v/>
      </c>
    </row>
    <row r="52" spans="2:3">
      <c r="B52" t="str">
        <f>IFERROR(AVERAGEIF(Raw_Data!A:A,A52,Raw_Data!H:H),"")</f>
        <v/>
      </c>
      <c r="C52" t="str">
        <f ca="1">IFERROR(AVERAGEIF(Raw_Data!A:A,A52,Raw_Data!#REF!),"")</f>
        <v/>
      </c>
    </row>
    <row r="53" spans="2:3">
      <c r="B53" t="str">
        <f>IFERROR(AVERAGEIF(Raw_Data!A:A,A53,Raw_Data!H:H),"")</f>
        <v/>
      </c>
      <c r="C53" t="str">
        <f ca="1">IFERROR(AVERAGEIF(Raw_Data!A:A,A53,Raw_Data!#REF!),"")</f>
        <v/>
      </c>
    </row>
    <row r="54" spans="2:3">
      <c r="B54" t="str">
        <f>IFERROR(AVERAGEIF(Raw_Data!A:A,A54,Raw_Data!H:H),"")</f>
        <v/>
      </c>
      <c r="C54" t="str">
        <f ca="1">IFERROR(AVERAGEIF(Raw_Data!A:A,A54,Raw_Data!#REF!),"")</f>
        <v/>
      </c>
    </row>
    <row r="55" spans="2:3">
      <c r="B55" t="str">
        <f>IFERROR(AVERAGEIF(Raw_Data!A:A,A55,Raw_Data!H:H),"")</f>
        <v/>
      </c>
      <c r="C55" t="str">
        <f ca="1">IFERROR(AVERAGEIF(Raw_Data!A:A,A55,Raw_Data!#REF!),"")</f>
        <v/>
      </c>
    </row>
    <row r="56" spans="2:3">
      <c r="B56" t="str">
        <f>IFERROR(AVERAGEIF(Raw_Data!A:A,A56,Raw_Data!H:H),"")</f>
        <v/>
      </c>
      <c r="C56" t="str">
        <f ca="1">IFERROR(AVERAGEIF(Raw_Data!A:A,A56,Raw_Data!#REF!),"")</f>
        <v/>
      </c>
    </row>
    <row r="57" spans="2:3">
      <c r="B57" t="str">
        <f>IFERROR(AVERAGEIF(Raw_Data!A:A,A57,Raw_Data!H:H),"")</f>
        <v/>
      </c>
      <c r="C57" t="str">
        <f ca="1">IFERROR(AVERAGEIF(Raw_Data!A:A,A57,Raw_Data!#REF!),"")</f>
        <v/>
      </c>
    </row>
    <row r="58" spans="2:3">
      <c r="B58" t="str">
        <f>IFERROR(AVERAGEIF(Raw_Data!A:A,A58,Raw_Data!H:H),"")</f>
        <v/>
      </c>
      <c r="C58" t="str">
        <f ca="1">IFERROR(AVERAGEIF(Raw_Data!A:A,A58,Raw_Data!#REF!),"")</f>
        <v/>
      </c>
    </row>
    <row r="59" spans="2:3">
      <c r="B59" t="str">
        <f>IFERROR(AVERAGEIF(Raw_Data!A:A,A59,Raw_Data!H:H),"")</f>
        <v/>
      </c>
      <c r="C59" t="str">
        <f ca="1">IFERROR(AVERAGEIF(Raw_Data!A:A,A59,Raw_Data!#REF!),"")</f>
        <v/>
      </c>
    </row>
    <row r="60" spans="2:3">
      <c r="B60" t="str">
        <f>IFERROR(AVERAGEIF(Raw_Data!A:A,A60,Raw_Data!H:H),"")</f>
        <v/>
      </c>
      <c r="C60" t="str">
        <f ca="1">IFERROR(AVERAGEIF(Raw_Data!A:A,A60,Raw_Data!#REF!),"")</f>
        <v/>
      </c>
    </row>
    <row r="61" spans="2:3">
      <c r="B61" t="str">
        <f>IFERROR(AVERAGEIF(Raw_Data!A:A,A61,Raw_Data!H:H),"")</f>
        <v/>
      </c>
      <c r="C61" t="str">
        <f ca="1">IFERROR(AVERAGEIF(Raw_Data!A:A,A61,Raw_Data!#REF!),"")</f>
        <v/>
      </c>
    </row>
    <row r="62" spans="2:3">
      <c r="B62" t="str">
        <f>IFERROR(AVERAGEIF(Raw_Data!A:A,A62,Raw_Data!H:H),"")</f>
        <v/>
      </c>
      <c r="C62" t="str">
        <f ca="1">IFERROR(AVERAGEIF(Raw_Data!A:A,A62,Raw_Data!#REF!),"")</f>
        <v/>
      </c>
    </row>
    <row r="63" spans="2:3">
      <c r="B63" t="str">
        <f>IFERROR(AVERAGEIF(Raw_Data!A:A,A63,Raw_Data!H:H),"")</f>
        <v/>
      </c>
      <c r="C63" t="str">
        <f ca="1">IFERROR(AVERAGEIF(Raw_Data!A:A,A63,Raw_Data!#REF!),"")</f>
        <v/>
      </c>
    </row>
    <row r="64" spans="2:3">
      <c r="B64" t="str">
        <f>IFERROR(AVERAGEIF(Raw_Data!A:A,A64,Raw_Data!H:H),"")</f>
        <v/>
      </c>
      <c r="C64" t="str">
        <f ca="1">IFERROR(AVERAGEIF(Raw_Data!A:A,A64,Raw_Data!#REF!),"")</f>
        <v/>
      </c>
    </row>
    <row r="65" spans="2:3">
      <c r="B65" t="str">
        <f>IFERROR(AVERAGEIF(Raw_Data!A:A,A65,Raw_Data!H:H),"")</f>
        <v/>
      </c>
      <c r="C65" t="str">
        <f ca="1">IFERROR(AVERAGEIF(Raw_Data!A:A,A65,Raw_Data!#REF!),"")</f>
        <v/>
      </c>
    </row>
    <row r="66" spans="2:3">
      <c r="B66" t="str">
        <f>IFERROR(AVERAGEIF(Raw_Data!A:A,A66,Raw_Data!H:H),"")</f>
        <v/>
      </c>
      <c r="C66" t="str">
        <f ca="1">IFERROR(AVERAGEIF(Raw_Data!A:A,A66,Raw_Data!#REF!),"")</f>
        <v/>
      </c>
    </row>
    <row r="67" spans="2:3">
      <c r="B67" t="str">
        <f>IFERROR(AVERAGEIF(Raw_Data!A:A,A67,Raw_Data!H:H),"")</f>
        <v/>
      </c>
      <c r="C67" t="str">
        <f ca="1">IFERROR(AVERAGEIF(Raw_Data!A:A,A67,Raw_Data!#REF!),"")</f>
        <v/>
      </c>
    </row>
    <row r="68" spans="2:3">
      <c r="B68" t="str">
        <f>IFERROR(AVERAGEIF(Raw_Data!A:A,A68,Raw_Data!H:H),"")</f>
        <v/>
      </c>
      <c r="C68" t="str">
        <f ca="1">IFERROR(AVERAGEIF(Raw_Data!A:A,A68,Raw_Data!#REF!),"")</f>
        <v/>
      </c>
    </row>
    <row r="69" spans="2:3">
      <c r="B69" t="str">
        <f>IFERROR(AVERAGEIF(Raw_Data!A:A,A69,Raw_Data!H:H),"")</f>
        <v/>
      </c>
      <c r="C69" t="str">
        <f ca="1">IFERROR(AVERAGEIF(Raw_Data!A:A,A69,Raw_Data!#REF!),"")</f>
        <v/>
      </c>
    </row>
    <row r="70" spans="2:3">
      <c r="B70" t="str">
        <f>IFERROR(AVERAGEIF(Raw_Data!A:A,A70,Raw_Data!H:H),"")</f>
        <v/>
      </c>
      <c r="C70" t="str">
        <f ca="1">IFERROR(AVERAGEIF(Raw_Data!A:A,A70,Raw_Data!#REF!),"")</f>
        <v/>
      </c>
    </row>
    <row r="71" spans="2:3">
      <c r="B71" t="str">
        <f>IFERROR(AVERAGEIF(Raw_Data!A:A,A71,Raw_Data!H:H),"")</f>
        <v/>
      </c>
      <c r="C71" t="str">
        <f ca="1">IFERROR(AVERAGEIF(Raw_Data!A:A,A71,Raw_Data!#REF!),"")</f>
        <v/>
      </c>
    </row>
    <row r="72" spans="2:3">
      <c r="B72" t="str">
        <f>IFERROR(AVERAGEIF(Raw_Data!A:A,A72,Raw_Data!H:H),"")</f>
        <v/>
      </c>
      <c r="C72" t="str">
        <f ca="1">IFERROR(AVERAGEIF(Raw_Data!A:A,A72,Raw_Data!#REF!),"")</f>
        <v/>
      </c>
    </row>
    <row r="73" spans="2:3">
      <c r="B73" t="str">
        <f>IFERROR(AVERAGEIF(Raw_Data!A:A,A73,Raw_Data!H:H),"")</f>
        <v/>
      </c>
      <c r="C73" t="str">
        <f ca="1">IFERROR(AVERAGEIF(Raw_Data!A:A,A73,Raw_Data!#REF!),"")</f>
        <v/>
      </c>
    </row>
    <row r="74" spans="2:3">
      <c r="B74" t="str">
        <f>IFERROR(AVERAGEIF(Raw_Data!A:A,A74,Raw_Data!H:H),"")</f>
        <v/>
      </c>
      <c r="C74" t="str">
        <f ca="1">IFERROR(AVERAGEIF(Raw_Data!A:A,A74,Raw_Data!#REF!),"")</f>
        <v/>
      </c>
    </row>
    <row r="75" spans="2:3">
      <c r="B75" t="str">
        <f>IFERROR(AVERAGEIF(Raw_Data!A:A,A75,Raw_Data!H:H),"")</f>
        <v/>
      </c>
      <c r="C75" t="str">
        <f ca="1">IFERROR(AVERAGEIF(Raw_Data!A:A,A75,Raw_Data!#REF!),"")</f>
        <v/>
      </c>
    </row>
    <row r="76" spans="2:3">
      <c r="B76" t="str">
        <f>IFERROR(AVERAGEIF(Raw_Data!A:A,A76,Raw_Data!H:H),"")</f>
        <v/>
      </c>
      <c r="C76" t="str">
        <f ca="1">IFERROR(AVERAGEIF(Raw_Data!A:A,A76,Raw_Data!#REF!),"")</f>
        <v/>
      </c>
    </row>
    <row r="77" spans="2:3">
      <c r="B77" t="str">
        <f>IFERROR(AVERAGEIF(Raw_Data!A:A,A77,Raw_Data!H:H),"")</f>
        <v/>
      </c>
      <c r="C77" t="str">
        <f ca="1">IFERROR(AVERAGEIF(Raw_Data!A:A,A77,Raw_Data!#REF!),"")</f>
        <v/>
      </c>
    </row>
    <row r="78" spans="2:3">
      <c r="B78" t="str">
        <f>IFERROR(AVERAGEIF(Raw_Data!A:A,A78,Raw_Data!H:H),"")</f>
        <v/>
      </c>
      <c r="C78" t="str">
        <f ca="1">IFERROR(AVERAGEIF(Raw_Data!A:A,A78,Raw_Data!#REF!),"")</f>
        <v/>
      </c>
    </row>
    <row r="79" spans="2:3">
      <c r="B79" t="str">
        <f>IFERROR(AVERAGEIF(Raw_Data!A:A,A79,Raw_Data!H:H),"")</f>
        <v/>
      </c>
      <c r="C79" t="str">
        <f ca="1">IFERROR(AVERAGEIF(Raw_Data!A:A,A79,Raw_Data!#REF!),"")</f>
        <v/>
      </c>
    </row>
    <row r="80" spans="2:3">
      <c r="B80" t="str">
        <f>IFERROR(AVERAGEIF(Raw_Data!A:A,A80,Raw_Data!H:H),"")</f>
        <v/>
      </c>
      <c r="C80" t="str">
        <f ca="1">IFERROR(AVERAGEIF(Raw_Data!A:A,A80,Raw_Data!#REF!),"")</f>
        <v/>
      </c>
    </row>
    <row r="81" spans="2:3">
      <c r="B81" t="str">
        <f>IFERROR(AVERAGEIF(Raw_Data!A:A,A81,Raw_Data!H:H),"")</f>
        <v/>
      </c>
      <c r="C81" t="str">
        <f ca="1">IFERROR(AVERAGEIF(Raw_Data!A:A,A81,Raw_Data!#REF!),"")</f>
        <v/>
      </c>
    </row>
    <row r="82" spans="2:3">
      <c r="B82" t="str">
        <f>IFERROR(AVERAGEIF(Raw_Data!A:A,A82,Raw_Data!H:H),"")</f>
        <v/>
      </c>
      <c r="C82" t="str">
        <f ca="1">IFERROR(AVERAGEIF(Raw_Data!A:A,A82,Raw_Data!#REF!),"")</f>
        <v/>
      </c>
    </row>
    <row r="83" spans="2:3">
      <c r="B83" t="str">
        <f>IFERROR(AVERAGEIF(Raw_Data!A:A,A83,Raw_Data!H:H),"")</f>
        <v/>
      </c>
      <c r="C83" t="str">
        <f ca="1">IFERROR(AVERAGEIF(Raw_Data!A:A,A83,Raw_Data!#REF!),"")</f>
        <v/>
      </c>
    </row>
    <row r="84" spans="2:3">
      <c r="B84" t="str">
        <f>IFERROR(AVERAGEIF(Raw_Data!A:A,A84,Raw_Data!H:H),"")</f>
        <v/>
      </c>
      <c r="C84" t="str">
        <f ca="1">IFERROR(AVERAGEIF(Raw_Data!A:A,A84,Raw_Data!#REF!),"")</f>
        <v/>
      </c>
    </row>
    <row r="85" spans="2:3">
      <c r="B85" t="str">
        <f>IFERROR(AVERAGEIF(Raw_Data!A:A,A85,Raw_Data!H:H),"")</f>
        <v/>
      </c>
      <c r="C85" t="str">
        <f ca="1">IFERROR(AVERAGEIF(Raw_Data!A:A,A85,Raw_Data!#REF!),"")</f>
        <v/>
      </c>
    </row>
    <row r="86" spans="2:3">
      <c r="B86" t="str">
        <f>IFERROR(AVERAGEIF(Raw_Data!A:A,A86,Raw_Data!H:H),"")</f>
        <v/>
      </c>
      <c r="C86" t="str">
        <f ca="1">IFERROR(AVERAGEIF(Raw_Data!A:A,A86,Raw_Data!#REF!),"")</f>
        <v/>
      </c>
    </row>
    <row r="87" spans="2:3">
      <c r="B87" t="str">
        <f>IFERROR(AVERAGEIF(Raw_Data!A:A,A87,Raw_Data!H:H),"")</f>
        <v/>
      </c>
      <c r="C87" t="str">
        <f ca="1">IFERROR(AVERAGEIF(Raw_Data!A:A,A87,Raw_Data!#REF!),"")</f>
        <v/>
      </c>
    </row>
    <row r="88" spans="2:3">
      <c r="B88" t="str">
        <f>IFERROR(AVERAGEIF(Raw_Data!A:A,A88,Raw_Data!H:H),"")</f>
        <v/>
      </c>
      <c r="C88" t="str">
        <f ca="1">IFERROR(AVERAGEIF(Raw_Data!A:A,A88,Raw_Data!#REF!),"")</f>
        <v/>
      </c>
    </row>
    <row r="89" spans="2:3">
      <c r="B89" t="str">
        <f>IFERROR(AVERAGEIF(Raw_Data!A:A,A89,Raw_Data!H:H),"")</f>
        <v/>
      </c>
      <c r="C89" t="str">
        <f ca="1">IFERROR(AVERAGEIF(Raw_Data!A:A,A89,Raw_Data!#REF!),"")</f>
        <v/>
      </c>
    </row>
    <row r="90" spans="2:3">
      <c r="B90" t="str">
        <f>IFERROR(AVERAGEIF(Raw_Data!A:A,A90,Raw_Data!H:H),"")</f>
        <v/>
      </c>
      <c r="C90" t="str">
        <f ca="1">IFERROR(AVERAGEIF(Raw_Data!A:A,A90,Raw_Data!#REF!),"")</f>
        <v/>
      </c>
    </row>
    <row r="91" spans="2:3">
      <c r="B91" t="str">
        <f>IFERROR(AVERAGEIF(Raw_Data!A:A,A91,Raw_Data!H:H),"")</f>
        <v/>
      </c>
      <c r="C91" t="str">
        <f ca="1">IFERROR(AVERAGEIF(Raw_Data!A:A,A91,Raw_Data!#REF!),"")</f>
        <v/>
      </c>
    </row>
    <row r="92" spans="2:3">
      <c r="B92" t="str">
        <f>IFERROR(AVERAGEIF(Raw_Data!A:A,A92,Raw_Data!H:H),"")</f>
        <v/>
      </c>
      <c r="C92" t="str">
        <f ca="1">IFERROR(AVERAGEIF(Raw_Data!A:A,A92,Raw_Data!#REF!),"")</f>
        <v/>
      </c>
    </row>
    <row r="93" spans="2:3">
      <c r="B93" t="str">
        <f>IFERROR(AVERAGEIF(Raw_Data!A:A,A93,Raw_Data!H:H),"")</f>
        <v/>
      </c>
      <c r="C93" t="str">
        <f ca="1">IFERROR(AVERAGEIF(Raw_Data!A:A,A93,Raw_Data!#REF!),"")</f>
        <v/>
      </c>
    </row>
    <row r="94" spans="2:3">
      <c r="B94" t="str">
        <f>IFERROR(AVERAGEIF(Raw_Data!A:A,A94,Raw_Data!H:H),"")</f>
        <v/>
      </c>
      <c r="C94" t="str">
        <f ca="1">IFERROR(AVERAGEIF(Raw_Data!A:A,A94,Raw_Data!#REF!),"")</f>
        <v/>
      </c>
    </row>
    <row r="95" spans="2:3">
      <c r="B95" t="str">
        <f>IFERROR(AVERAGEIF(Raw_Data!A:A,A95,Raw_Data!H:H),"")</f>
        <v/>
      </c>
      <c r="C95" t="str">
        <f ca="1">IFERROR(AVERAGEIF(Raw_Data!A:A,A95,Raw_Data!#REF!),"")</f>
        <v/>
      </c>
    </row>
    <row r="96" spans="2:3">
      <c r="B96" t="str">
        <f>IFERROR(AVERAGEIF(Raw_Data!A:A,A96,Raw_Data!H:H),"")</f>
        <v/>
      </c>
      <c r="C96" t="str">
        <f ca="1">IFERROR(AVERAGEIF(Raw_Data!A:A,A96,Raw_Data!#REF!),"")</f>
        <v/>
      </c>
    </row>
    <row r="97" spans="2:3">
      <c r="B97" t="str">
        <f>IFERROR(AVERAGEIF(Raw_Data!A:A,A97,Raw_Data!H:H),"")</f>
        <v/>
      </c>
      <c r="C97" t="str">
        <f ca="1">IFERROR(AVERAGEIF(Raw_Data!A:A,A97,Raw_Data!#REF!),"")</f>
        <v/>
      </c>
    </row>
    <row r="98" spans="2:3">
      <c r="B98" t="str">
        <f>IFERROR(AVERAGEIF(Raw_Data!A:A,A98,Raw_Data!H:H),"")</f>
        <v/>
      </c>
      <c r="C98" t="str">
        <f ca="1">IFERROR(AVERAGEIF(Raw_Data!A:A,A98,Raw_Data!#REF!),"")</f>
        <v/>
      </c>
    </row>
    <row r="99" spans="2:3">
      <c r="B99" t="str">
        <f>IFERROR(AVERAGEIF(Raw_Data!A:A,A99,Raw_Data!H:H),"")</f>
        <v/>
      </c>
      <c r="C99" t="str">
        <f ca="1">IFERROR(AVERAGEIF(Raw_Data!A:A,A99,Raw_Data!#REF!),"")</f>
        <v/>
      </c>
    </row>
  </sheetData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9"/>
  <sheetViews>
    <sheetView workbookViewId="0">
      <selection activeCell="A1" sqref="A1"/>
    </sheetView>
  </sheetViews>
  <sheetFormatPr defaultColWidth="9" defaultRowHeight="14" outlineLevelCol="3"/>
  <sheetData>
    <row r="1" spans="1:4">
      <c r="A1" s="1" t="s">
        <v>5</v>
      </c>
      <c r="B1" s="1" t="s">
        <v>20</v>
      </c>
      <c r="C1" s="1" t="s">
        <v>21</v>
      </c>
      <c r="D1" s="1" t="s">
        <v>22</v>
      </c>
    </row>
    <row r="2" spans="1:4">
      <c r="B2">
        <f>IFERROR(COUNTIF(Raw_Data!F:F,A2),"")</f>
        <v>0</v>
      </c>
      <c r="C2" t="str">
        <f>IFERROR(AVERAGEIF(Raw_Data!F:F,A2,Raw_Data!H:H),"")</f>
        <v/>
      </c>
      <c r="D2" t="str">
        <f ca="1">IFERROR(AVERAGEIF(Raw_Data!F:F,A2,Raw_Data!#REF!),"")</f>
        <v/>
      </c>
    </row>
    <row r="3" spans="1:4">
      <c r="B3">
        <f>IFERROR(COUNTIF(Raw_Data!F:F,A3),"")</f>
        <v>0</v>
      </c>
      <c r="C3" t="str">
        <f>IFERROR(AVERAGEIF(Raw_Data!F:F,A3,Raw_Data!H:H),"")</f>
        <v/>
      </c>
      <c r="D3" t="str">
        <f ca="1">IFERROR(AVERAGEIF(Raw_Data!F:F,A3,Raw_Data!#REF!),"")</f>
        <v/>
      </c>
    </row>
    <row r="4" spans="1:4">
      <c r="B4">
        <f>IFERROR(COUNTIF(Raw_Data!F:F,A4),"")</f>
        <v>0</v>
      </c>
      <c r="C4" t="str">
        <f>IFERROR(AVERAGEIF(Raw_Data!F:F,A4,Raw_Data!H:H),"")</f>
        <v/>
      </c>
      <c r="D4" t="str">
        <f ca="1">IFERROR(AVERAGEIF(Raw_Data!F:F,A4,Raw_Data!#REF!),"")</f>
        <v/>
      </c>
    </row>
    <row r="5" spans="1:4">
      <c r="B5">
        <f>IFERROR(COUNTIF(Raw_Data!F:F,A5),"")</f>
        <v>0</v>
      </c>
      <c r="C5" t="str">
        <f>IFERROR(AVERAGEIF(Raw_Data!F:F,A5,Raw_Data!H:H),"")</f>
        <v/>
      </c>
      <c r="D5" t="str">
        <f ca="1">IFERROR(AVERAGEIF(Raw_Data!F:F,A5,Raw_Data!#REF!),"")</f>
        <v/>
      </c>
    </row>
    <row r="6" spans="1:4">
      <c r="B6">
        <f>IFERROR(COUNTIF(Raw_Data!F:F,A6),"")</f>
        <v>0</v>
      </c>
      <c r="C6" t="str">
        <f>IFERROR(AVERAGEIF(Raw_Data!F:F,A6,Raw_Data!H:H),"")</f>
        <v/>
      </c>
      <c r="D6" t="str">
        <f ca="1">IFERROR(AVERAGEIF(Raw_Data!F:F,A6,Raw_Data!#REF!),"")</f>
        <v/>
      </c>
    </row>
    <row r="7" spans="1:4">
      <c r="B7">
        <f>IFERROR(COUNTIF(Raw_Data!F:F,A7),"")</f>
        <v>0</v>
      </c>
      <c r="C7" t="str">
        <f>IFERROR(AVERAGEIF(Raw_Data!F:F,A7,Raw_Data!H:H),"")</f>
        <v/>
      </c>
      <c r="D7" t="str">
        <f ca="1">IFERROR(AVERAGEIF(Raw_Data!F:F,A7,Raw_Data!#REF!),"")</f>
        <v/>
      </c>
    </row>
    <row r="8" spans="1:4">
      <c r="B8">
        <f>IFERROR(COUNTIF(Raw_Data!F:F,A8),"")</f>
        <v>0</v>
      </c>
      <c r="C8" t="str">
        <f>IFERROR(AVERAGEIF(Raw_Data!F:F,A8,Raw_Data!H:H),"")</f>
        <v/>
      </c>
      <c r="D8" t="str">
        <f ca="1">IFERROR(AVERAGEIF(Raw_Data!F:F,A8,Raw_Data!#REF!),"")</f>
        <v/>
      </c>
    </row>
    <row r="9" spans="1:4">
      <c r="B9">
        <f>IFERROR(COUNTIF(Raw_Data!F:F,A9),"")</f>
        <v>0</v>
      </c>
      <c r="C9" t="str">
        <f>IFERROR(AVERAGEIF(Raw_Data!F:F,A9,Raw_Data!H:H),"")</f>
        <v/>
      </c>
      <c r="D9" t="str">
        <f ca="1">IFERROR(AVERAGEIF(Raw_Data!F:F,A9,Raw_Data!#REF!),"")</f>
        <v/>
      </c>
    </row>
    <row r="10" spans="1:4">
      <c r="B10">
        <f>IFERROR(COUNTIF(Raw_Data!F:F,A10),"")</f>
        <v>0</v>
      </c>
      <c r="C10" t="str">
        <f>IFERROR(AVERAGEIF(Raw_Data!F:F,A10,Raw_Data!H:H),"")</f>
        <v/>
      </c>
      <c r="D10" t="str">
        <f ca="1">IFERROR(AVERAGEIF(Raw_Data!F:F,A10,Raw_Data!#REF!),"")</f>
        <v/>
      </c>
    </row>
    <row r="11" spans="1:4">
      <c r="B11">
        <f>IFERROR(COUNTIF(Raw_Data!F:F,A11),"")</f>
        <v>0</v>
      </c>
      <c r="C11" t="str">
        <f>IFERROR(AVERAGEIF(Raw_Data!F:F,A11,Raw_Data!H:H),"")</f>
        <v/>
      </c>
      <c r="D11" t="str">
        <f ca="1">IFERROR(AVERAGEIF(Raw_Data!F:F,A11,Raw_Data!#REF!),"")</f>
        <v/>
      </c>
    </row>
    <row r="12" spans="1:4">
      <c r="B12">
        <f>IFERROR(COUNTIF(Raw_Data!F:F,A12),"")</f>
        <v>0</v>
      </c>
      <c r="C12" t="str">
        <f>IFERROR(AVERAGEIF(Raw_Data!F:F,A12,Raw_Data!H:H),"")</f>
        <v/>
      </c>
      <c r="D12" t="str">
        <f ca="1">IFERROR(AVERAGEIF(Raw_Data!F:F,A12,Raw_Data!#REF!),"")</f>
        <v/>
      </c>
    </row>
    <row r="13" spans="1:4">
      <c r="B13">
        <f>IFERROR(COUNTIF(Raw_Data!F:F,A13),"")</f>
        <v>0</v>
      </c>
      <c r="C13" t="str">
        <f>IFERROR(AVERAGEIF(Raw_Data!F:F,A13,Raw_Data!H:H),"")</f>
        <v/>
      </c>
      <c r="D13" t="str">
        <f ca="1">IFERROR(AVERAGEIF(Raw_Data!F:F,A13,Raw_Data!#REF!),"")</f>
        <v/>
      </c>
    </row>
    <row r="14" spans="1:4">
      <c r="B14">
        <f>IFERROR(COUNTIF(Raw_Data!F:F,A14),"")</f>
        <v>0</v>
      </c>
      <c r="C14" t="str">
        <f>IFERROR(AVERAGEIF(Raw_Data!F:F,A14,Raw_Data!H:H),"")</f>
        <v/>
      </c>
      <c r="D14" t="str">
        <f ca="1">IFERROR(AVERAGEIF(Raw_Data!F:F,A14,Raw_Data!#REF!),"")</f>
        <v/>
      </c>
    </row>
    <row r="15" spans="1:4">
      <c r="B15">
        <f>IFERROR(COUNTIF(Raw_Data!F:F,A15),"")</f>
        <v>0</v>
      </c>
      <c r="C15" t="str">
        <f>IFERROR(AVERAGEIF(Raw_Data!F:F,A15,Raw_Data!H:H),"")</f>
        <v/>
      </c>
      <c r="D15" t="str">
        <f ca="1">IFERROR(AVERAGEIF(Raw_Data!F:F,A15,Raw_Data!#REF!),"")</f>
        <v/>
      </c>
    </row>
    <row r="16" spans="1:4">
      <c r="B16">
        <f>IFERROR(COUNTIF(Raw_Data!F:F,A16),"")</f>
        <v>0</v>
      </c>
      <c r="C16" t="str">
        <f>IFERROR(AVERAGEIF(Raw_Data!F:F,A16,Raw_Data!H:H),"")</f>
        <v/>
      </c>
      <c r="D16" t="str">
        <f ca="1">IFERROR(AVERAGEIF(Raw_Data!F:F,A16,Raw_Data!#REF!),"")</f>
        <v/>
      </c>
    </row>
    <row r="17" spans="2:4">
      <c r="B17">
        <f>IFERROR(COUNTIF(Raw_Data!F:F,A17),"")</f>
        <v>0</v>
      </c>
      <c r="C17" t="str">
        <f>IFERROR(AVERAGEIF(Raw_Data!F:F,A17,Raw_Data!H:H),"")</f>
        <v/>
      </c>
      <c r="D17" t="str">
        <f ca="1">IFERROR(AVERAGEIF(Raw_Data!F:F,A17,Raw_Data!#REF!),"")</f>
        <v/>
      </c>
    </row>
    <row r="18" spans="2:4">
      <c r="B18">
        <f>IFERROR(COUNTIF(Raw_Data!F:F,A18),"")</f>
        <v>0</v>
      </c>
      <c r="C18" t="str">
        <f>IFERROR(AVERAGEIF(Raw_Data!F:F,A18,Raw_Data!H:H),"")</f>
        <v/>
      </c>
      <c r="D18" t="str">
        <f ca="1">IFERROR(AVERAGEIF(Raw_Data!F:F,A18,Raw_Data!#REF!),"")</f>
        <v/>
      </c>
    </row>
    <row r="19" spans="2:4">
      <c r="B19">
        <f>IFERROR(COUNTIF(Raw_Data!F:F,A19),"")</f>
        <v>0</v>
      </c>
      <c r="C19" t="str">
        <f>IFERROR(AVERAGEIF(Raw_Data!F:F,A19,Raw_Data!H:H),"")</f>
        <v/>
      </c>
      <c r="D19" t="str">
        <f ca="1">IFERROR(AVERAGEIF(Raw_Data!F:F,A19,Raw_Data!#REF!),"")</f>
        <v/>
      </c>
    </row>
    <row r="20" spans="2:4">
      <c r="B20">
        <f>IFERROR(COUNTIF(Raw_Data!F:F,A20),"")</f>
        <v>0</v>
      </c>
      <c r="C20" t="str">
        <f>IFERROR(AVERAGEIF(Raw_Data!F:F,A20,Raw_Data!H:H),"")</f>
        <v/>
      </c>
      <c r="D20" t="str">
        <f ca="1">IFERROR(AVERAGEIF(Raw_Data!F:F,A20,Raw_Data!#REF!),"")</f>
        <v/>
      </c>
    </row>
    <row r="21" spans="2:4">
      <c r="B21">
        <f>IFERROR(COUNTIF(Raw_Data!F:F,A21),"")</f>
        <v>0</v>
      </c>
      <c r="C21" t="str">
        <f>IFERROR(AVERAGEIF(Raw_Data!F:F,A21,Raw_Data!H:H),"")</f>
        <v/>
      </c>
      <c r="D21" t="str">
        <f ca="1">IFERROR(AVERAGEIF(Raw_Data!F:F,A21,Raw_Data!#REF!),"")</f>
        <v/>
      </c>
    </row>
    <row r="22" spans="2:4">
      <c r="B22">
        <f>IFERROR(COUNTIF(Raw_Data!F:F,A22),"")</f>
        <v>0</v>
      </c>
      <c r="C22" t="str">
        <f>IFERROR(AVERAGEIF(Raw_Data!F:F,A22,Raw_Data!H:H),"")</f>
        <v/>
      </c>
      <c r="D22" t="str">
        <f ca="1">IFERROR(AVERAGEIF(Raw_Data!F:F,A22,Raw_Data!#REF!),"")</f>
        <v/>
      </c>
    </row>
    <row r="23" spans="2:4">
      <c r="B23">
        <f>IFERROR(COUNTIF(Raw_Data!F:F,A23),"")</f>
        <v>0</v>
      </c>
      <c r="C23" t="str">
        <f>IFERROR(AVERAGEIF(Raw_Data!F:F,A23,Raw_Data!H:H),"")</f>
        <v/>
      </c>
      <c r="D23" t="str">
        <f ca="1">IFERROR(AVERAGEIF(Raw_Data!F:F,A23,Raw_Data!#REF!),"")</f>
        <v/>
      </c>
    </row>
    <row r="24" spans="2:4">
      <c r="B24">
        <f>IFERROR(COUNTIF(Raw_Data!F:F,A24),"")</f>
        <v>0</v>
      </c>
      <c r="C24" t="str">
        <f>IFERROR(AVERAGEIF(Raw_Data!F:F,A24,Raw_Data!H:H),"")</f>
        <v/>
      </c>
      <c r="D24" t="str">
        <f ca="1">IFERROR(AVERAGEIF(Raw_Data!F:F,A24,Raw_Data!#REF!),"")</f>
        <v/>
      </c>
    </row>
    <row r="25" spans="2:4">
      <c r="B25">
        <f>IFERROR(COUNTIF(Raw_Data!F:F,A25),"")</f>
        <v>0</v>
      </c>
      <c r="C25" t="str">
        <f>IFERROR(AVERAGEIF(Raw_Data!F:F,A25,Raw_Data!H:H),"")</f>
        <v/>
      </c>
      <c r="D25" t="str">
        <f ca="1">IFERROR(AVERAGEIF(Raw_Data!F:F,A25,Raw_Data!#REF!),"")</f>
        <v/>
      </c>
    </row>
    <row r="26" spans="2:4">
      <c r="B26">
        <f>IFERROR(COUNTIF(Raw_Data!F:F,A26),"")</f>
        <v>0</v>
      </c>
      <c r="C26" t="str">
        <f>IFERROR(AVERAGEIF(Raw_Data!F:F,A26,Raw_Data!H:H),"")</f>
        <v/>
      </c>
      <c r="D26" t="str">
        <f ca="1">IFERROR(AVERAGEIF(Raw_Data!F:F,A26,Raw_Data!#REF!),"")</f>
        <v/>
      </c>
    </row>
    <row r="27" spans="2:4">
      <c r="B27">
        <f>IFERROR(COUNTIF(Raw_Data!F:F,A27),"")</f>
        <v>0</v>
      </c>
      <c r="C27" t="str">
        <f>IFERROR(AVERAGEIF(Raw_Data!F:F,A27,Raw_Data!H:H),"")</f>
        <v/>
      </c>
      <c r="D27" t="str">
        <f ca="1">IFERROR(AVERAGEIF(Raw_Data!F:F,A27,Raw_Data!#REF!),"")</f>
        <v/>
      </c>
    </row>
    <row r="28" spans="2:4">
      <c r="B28">
        <f>IFERROR(COUNTIF(Raw_Data!F:F,A28),"")</f>
        <v>0</v>
      </c>
      <c r="C28" t="str">
        <f>IFERROR(AVERAGEIF(Raw_Data!F:F,A28,Raw_Data!H:H),"")</f>
        <v/>
      </c>
      <c r="D28" t="str">
        <f ca="1">IFERROR(AVERAGEIF(Raw_Data!F:F,A28,Raw_Data!#REF!),"")</f>
        <v/>
      </c>
    </row>
    <row r="29" spans="2:4">
      <c r="B29">
        <f>IFERROR(COUNTIF(Raw_Data!F:F,A29),"")</f>
        <v>0</v>
      </c>
      <c r="C29" t="str">
        <f>IFERROR(AVERAGEIF(Raw_Data!F:F,A29,Raw_Data!H:H),"")</f>
        <v/>
      </c>
      <c r="D29" t="str">
        <f ca="1">IFERROR(AVERAGEIF(Raw_Data!F:F,A29,Raw_Data!#REF!),"")</f>
        <v/>
      </c>
    </row>
    <row r="30" spans="2:4">
      <c r="B30">
        <f>IFERROR(COUNTIF(Raw_Data!F:F,A30),"")</f>
        <v>0</v>
      </c>
      <c r="C30" t="str">
        <f>IFERROR(AVERAGEIF(Raw_Data!F:F,A30,Raw_Data!H:H),"")</f>
        <v/>
      </c>
      <c r="D30" t="str">
        <f ca="1">IFERROR(AVERAGEIF(Raw_Data!F:F,A30,Raw_Data!#REF!),"")</f>
        <v/>
      </c>
    </row>
    <row r="31" spans="2:4">
      <c r="B31">
        <f>IFERROR(COUNTIF(Raw_Data!F:F,A31),"")</f>
        <v>0</v>
      </c>
      <c r="C31" t="str">
        <f>IFERROR(AVERAGEIF(Raw_Data!F:F,A31,Raw_Data!H:H),"")</f>
        <v/>
      </c>
      <c r="D31" t="str">
        <f ca="1">IFERROR(AVERAGEIF(Raw_Data!F:F,A31,Raw_Data!#REF!),"")</f>
        <v/>
      </c>
    </row>
    <row r="32" spans="2:4">
      <c r="B32">
        <f>IFERROR(COUNTIF(Raw_Data!F:F,A32),"")</f>
        <v>0</v>
      </c>
      <c r="C32" t="str">
        <f>IFERROR(AVERAGEIF(Raw_Data!F:F,A32,Raw_Data!H:H),"")</f>
        <v/>
      </c>
      <c r="D32" t="str">
        <f ca="1">IFERROR(AVERAGEIF(Raw_Data!F:F,A32,Raw_Data!#REF!),"")</f>
        <v/>
      </c>
    </row>
    <row r="33" spans="2:4">
      <c r="B33">
        <f>IFERROR(COUNTIF(Raw_Data!F:F,A33),"")</f>
        <v>0</v>
      </c>
      <c r="C33" t="str">
        <f>IFERROR(AVERAGEIF(Raw_Data!F:F,A33,Raw_Data!H:H),"")</f>
        <v/>
      </c>
      <c r="D33" t="str">
        <f ca="1">IFERROR(AVERAGEIF(Raw_Data!F:F,A33,Raw_Data!#REF!),"")</f>
        <v/>
      </c>
    </row>
    <row r="34" spans="2:4">
      <c r="B34">
        <f>IFERROR(COUNTIF(Raw_Data!F:F,A34),"")</f>
        <v>0</v>
      </c>
      <c r="C34" t="str">
        <f>IFERROR(AVERAGEIF(Raw_Data!F:F,A34,Raw_Data!H:H),"")</f>
        <v/>
      </c>
      <c r="D34" t="str">
        <f ca="1">IFERROR(AVERAGEIF(Raw_Data!F:F,A34,Raw_Data!#REF!),"")</f>
        <v/>
      </c>
    </row>
    <row r="35" spans="2:4">
      <c r="B35">
        <f>IFERROR(COUNTIF(Raw_Data!F:F,A35),"")</f>
        <v>0</v>
      </c>
      <c r="C35" t="str">
        <f>IFERROR(AVERAGEIF(Raw_Data!F:F,A35,Raw_Data!H:H),"")</f>
        <v/>
      </c>
      <c r="D35" t="str">
        <f ca="1">IFERROR(AVERAGEIF(Raw_Data!F:F,A35,Raw_Data!#REF!),"")</f>
        <v/>
      </c>
    </row>
    <row r="36" spans="2:4">
      <c r="B36">
        <f>IFERROR(COUNTIF(Raw_Data!F:F,A36),"")</f>
        <v>0</v>
      </c>
      <c r="C36" t="str">
        <f>IFERROR(AVERAGEIF(Raw_Data!F:F,A36,Raw_Data!H:H),"")</f>
        <v/>
      </c>
      <c r="D36" t="str">
        <f ca="1">IFERROR(AVERAGEIF(Raw_Data!F:F,A36,Raw_Data!#REF!),"")</f>
        <v/>
      </c>
    </row>
    <row r="37" spans="2:4">
      <c r="B37">
        <f>IFERROR(COUNTIF(Raw_Data!F:F,A37),"")</f>
        <v>0</v>
      </c>
      <c r="C37" t="str">
        <f>IFERROR(AVERAGEIF(Raw_Data!F:F,A37,Raw_Data!H:H),"")</f>
        <v/>
      </c>
      <c r="D37" t="str">
        <f ca="1">IFERROR(AVERAGEIF(Raw_Data!F:F,A37,Raw_Data!#REF!),"")</f>
        <v/>
      </c>
    </row>
    <row r="38" spans="2:4">
      <c r="B38">
        <f>IFERROR(COUNTIF(Raw_Data!F:F,A38),"")</f>
        <v>0</v>
      </c>
      <c r="C38" t="str">
        <f>IFERROR(AVERAGEIF(Raw_Data!F:F,A38,Raw_Data!H:H),"")</f>
        <v/>
      </c>
      <c r="D38" t="str">
        <f ca="1">IFERROR(AVERAGEIF(Raw_Data!F:F,A38,Raw_Data!#REF!),"")</f>
        <v/>
      </c>
    </row>
    <row r="39" spans="2:4">
      <c r="B39">
        <f>IFERROR(COUNTIF(Raw_Data!F:F,A39),"")</f>
        <v>0</v>
      </c>
      <c r="C39" t="str">
        <f>IFERROR(AVERAGEIF(Raw_Data!F:F,A39,Raw_Data!H:H),"")</f>
        <v/>
      </c>
      <c r="D39" t="str">
        <f ca="1">IFERROR(AVERAGEIF(Raw_Data!F:F,A39,Raw_Data!#REF!),"")</f>
        <v/>
      </c>
    </row>
    <row r="40" spans="2:4">
      <c r="B40">
        <f>IFERROR(COUNTIF(Raw_Data!F:F,A40),"")</f>
        <v>0</v>
      </c>
      <c r="C40" t="str">
        <f>IFERROR(AVERAGEIF(Raw_Data!F:F,A40,Raw_Data!H:H),"")</f>
        <v/>
      </c>
      <c r="D40" t="str">
        <f ca="1">IFERROR(AVERAGEIF(Raw_Data!F:F,A40,Raw_Data!#REF!),"")</f>
        <v/>
      </c>
    </row>
    <row r="41" spans="2:4">
      <c r="B41">
        <f>IFERROR(COUNTIF(Raw_Data!F:F,A41),"")</f>
        <v>0</v>
      </c>
      <c r="C41" t="str">
        <f>IFERROR(AVERAGEIF(Raw_Data!F:F,A41,Raw_Data!H:H),"")</f>
        <v/>
      </c>
      <c r="D41" t="str">
        <f ca="1">IFERROR(AVERAGEIF(Raw_Data!F:F,A41,Raw_Data!#REF!),"")</f>
        <v/>
      </c>
    </row>
    <row r="42" spans="2:4">
      <c r="B42">
        <f>IFERROR(COUNTIF(Raw_Data!F:F,A42),"")</f>
        <v>0</v>
      </c>
      <c r="C42" t="str">
        <f>IFERROR(AVERAGEIF(Raw_Data!F:F,A42,Raw_Data!H:H),"")</f>
        <v/>
      </c>
      <c r="D42" t="str">
        <f ca="1">IFERROR(AVERAGEIF(Raw_Data!F:F,A42,Raw_Data!#REF!),"")</f>
        <v/>
      </c>
    </row>
    <row r="43" spans="2:4">
      <c r="B43">
        <f>IFERROR(COUNTIF(Raw_Data!F:F,A43),"")</f>
        <v>0</v>
      </c>
      <c r="C43" t="str">
        <f>IFERROR(AVERAGEIF(Raw_Data!F:F,A43,Raw_Data!H:H),"")</f>
        <v/>
      </c>
      <c r="D43" t="str">
        <f ca="1">IFERROR(AVERAGEIF(Raw_Data!F:F,A43,Raw_Data!#REF!),"")</f>
        <v/>
      </c>
    </row>
    <row r="44" spans="2:4">
      <c r="B44">
        <f>IFERROR(COUNTIF(Raw_Data!F:F,A44),"")</f>
        <v>0</v>
      </c>
      <c r="C44" t="str">
        <f>IFERROR(AVERAGEIF(Raw_Data!F:F,A44,Raw_Data!H:H),"")</f>
        <v/>
      </c>
      <c r="D44" t="str">
        <f ca="1">IFERROR(AVERAGEIF(Raw_Data!F:F,A44,Raw_Data!#REF!),"")</f>
        <v/>
      </c>
    </row>
    <row r="45" spans="2:4">
      <c r="B45">
        <f>IFERROR(COUNTIF(Raw_Data!F:F,A45),"")</f>
        <v>0</v>
      </c>
      <c r="C45" t="str">
        <f>IFERROR(AVERAGEIF(Raw_Data!F:F,A45,Raw_Data!H:H),"")</f>
        <v/>
      </c>
      <c r="D45" t="str">
        <f ca="1">IFERROR(AVERAGEIF(Raw_Data!F:F,A45,Raw_Data!#REF!),"")</f>
        <v/>
      </c>
    </row>
    <row r="46" spans="2:4">
      <c r="B46">
        <f>IFERROR(COUNTIF(Raw_Data!F:F,A46),"")</f>
        <v>0</v>
      </c>
      <c r="C46" t="str">
        <f>IFERROR(AVERAGEIF(Raw_Data!F:F,A46,Raw_Data!H:H),"")</f>
        <v/>
      </c>
      <c r="D46" t="str">
        <f ca="1">IFERROR(AVERAGEIF(Raw_Data!F:F,A46,Raw_Data!#REF!),"")</f>
        <v/>
      </c>
    </row>
    <row r="47" spans="2:4">
      <c r="B47">
        <f>IFERROR(COUNTIF(Raw_Data!F:F,A47),"")</f>
        <v>0</v>
      </c>
      <c r="C47" t="str">
        <f>IFERROR(AVERAGEIF(Raw_Data!F:F,A47,Raw_Data!H:H),"")</f>
        <v/>
      </c>
      <c r="D47" t="str">
        <f ca="1">IFERROR(AVERAGEIF(Raw_Data!F:F,A47,Raw_Data!#REF!),"")</f>
        <v/>
      </c>
    </row>
    <row r="48" spans="2:4">
      <c r="B48">
        <f>IFERROR(COUNTIF(Raw_Data!F:F,A48),"")</f>
        <v>0</v>
      </c>
      <c r="C48" t="str">
        <f>IFERROR(AVERAGEIF(Raw_Data!F:F,A48,Raw_Data!H:H),"")</f>
        <v/>
      </c>
      <c r="D48" t="str">
        <f ca="1">IFERROR(AVERAGEIF(Raw_Data!F:F,A48,Raw_Data!#REF!),"")</f>
        <v/>
      </c>
    </row>
    <row r="49" spans="2:4">
      <c r="B49">
        <f>IFERROR(COUNTIF(Raw_Data!F:F,A49),"")</f>
        <v>0</v>
      </c>
      <c r="C49" t="str">
        <f>IFERROR(AVERAGEIF(Raw_Data!F:F,A49,Raw_Data!H:H),"")</f>
        <v/>
      </c>
      <c r="D49" t="str">
        <f ca="1">IFERROR(AVERAGEIF(Raw_Data!F:F,A49,Raw_Data!#REF!),"")</f>
        <v/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Raw_Data</vt:lpstr>
      <vt:lpstr>Dashboard</vt:lpstr>
      <vt:lpstr>Price_Trend</vt:lpstr>
      <vt:lpstr>Process_Analysis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かなき</cp:lastModifiedBy>
  <dcterms:created xsi:type="dcterms:W3CDTF">2026-04-20T02:45:00Z</dcterms:created>
  <dcterms:modified xsi:type="dcterms:W3CDTF">2026-04-24T01:54:52Z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DF9159B814E3467DADF3D1A2CBE9D81D_12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